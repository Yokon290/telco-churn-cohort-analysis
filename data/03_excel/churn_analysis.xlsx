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ne\Documents\Portfolio\telco-churn-cohort-analysis\data\03_excel\"/>
    </mc:Choice>
  </mc:AlternateContent>
  <xr:revisionPtr revIDLastSave="0" documentId="13_ncr:1_{C687F931-2840-46B9-BF29-71F720E562C5}" xr6:coauthVersionLast="47" xr6:coauthVersionMax="47" xr10:uidLastSave="{00000000-0000-0000-0000-000000000000}"/>
  <bookViews>
    <workbookView xWindow="-108" yWindow="-108" windowWidth="23256" windowHeight="12456" xr2:uid="{E161B016-638A-4E9C-A20A-634AA65888B5}"/>
  </bookViews>
  <sheets>
    <sheet name="summary_dashboard" sheetId="6" r:id="rId1"/>
    <sheet name="churn_kpis" sheetId="2" r:id="rId2"/>
    <sheet name="churn_by_contract" sheetId="3" r:id="rId3"/>
    <sheet name="churn_by_tenure" sheetId="4" r:id="rId4"/>
    <sheet name="churn_by_payment" sheetId="5" r:id="rId5"/>
  </sheets>
  <definedNames>
    <definedName name="ExternalData_1" localSheetId="2" hidden="1">'churn_by_contract'!$A$1:$D$4</definedName>
    <definedName name="ExternalData_1" localSheetId="4" hidden="1">'churn_by_payment'!$A$1:$D$5</definedName>
    <definedName name="ExternalData_1" localSheetId="3" hidden="1">'churn_by_tenure'!$A$1:$D$5</definedName>
    <definedName name="ExternalData_1" localSheetId="1" hidden="1">'churn_kpis'!$A$1:$C$2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6" l="1" a="1"/>
  <c r="F5" i="6" s="1"/>
  <c r="M5" i="6" a="1"/>
  <c r="M5" i="6" s="1"/>
  <c r="A5" i="6" a="1"/>
  <c r="A5" i="6" s="1"/>
  <c r="D2" i="2"/>
  <c r="E2" i="3"/>
  <c r="E3" i="3"/>
  <c r="E4" i="3"/>
  <c r="E2" i="4"/>
  <c r="E3" i="4"/>
  <c r="E4" i="4"/>
  <c r="E5" i="4"/>
  <c r="E2" i="5"/>
  <c r="E3" i="5"/>
  <c r="E4" i="5"/>
  <c r="E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43D984-332E-430F-9006-5124161E7778}" keepAlive="1" name="Query - churn_by_contract" description="Connection to the 'churn_by_contract' query in the workbook." type="5" refreshedVersion="8" background="1" saveData="1">
    <dbPr connection="Provider=Microsoft.Mashup.OleDb.1;Data Source=$Workbook$;Location=churn_by_contract;Extended Properties=&quot;&quot;" command="SELECT * FROM [churn_by_contract]"/>
  </connection>
  <connection id="2" xr16:uid="{B0257C29-A8BC-47ED-950B-A4000FF430F3}" keepAlive="1" name="Query - churn_by_payment" description="Connection to the 'churn_by_payment' query in the workbook." type="5" refreshedVersion="8" background="1" saveData="1">
    <dbPr connection="Provider=Microsoft.Mashup.OleDb.1;Data Source=$Workbook$;Location=churn_by_payment;Extended Properties=&quot;&quot;" command="SELECT * FROM [churn_by_payment]"/>
  </connection>
  <connection id="3" xr16:uid="{008BEEF1-142A-48B3-898F-5FF9CEB79B72}" keepAlive="1" name="Query - churn_by_tenure" description="Connection to the 'churn_by_tenure' query in the workbook." type="5" refreshedVersion="8" background="1" saveData="1">
    <dbPr connection="Provider=Microsoft.Mashup.OleDb.1;Data Source=$Workbook$;Location=churn_by_tenure;Extended Properties=&quot;&quot;" command="SELECT * FROM [churn_by_tenure]"/>
  </connection>
  <connection id="4" xr16:uid="{2447E10E-5F51-4AB5-A6EA-F1EE6D04CBC6}" keepAlive="1" name="Query - churn_kpis" description="Connection to the 'churn_kpis' query in the workbook." type="5" refreshedVersion="8" background="1" saveData="1">
    <dbPr connection="Provider=Microsoft.Mashup.OleDb.1;Data Source=$Workbook$;Location=churn_kpis;Extended Properties=&quot;&quot;" command="SELECT * FROM [churn_kpi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<sst xmlns="http://schemas.openxmlformats.org/spreadsheetml/2006/main" count="34" uniqueCount="22">
  <si>
    <t>total_customers</t>
  </si>
  <si>
    <t>churned_customers</t>
  </si>
  <si>
    <t>churn_rate_pct</t>
  </si>
  <si>
    <t>contract</t>
  </si>
  <si>
    <t>Month-to-month</t>
  </si>
  <si>
    <t>One year</t>
  </si>
  <si>
    <t>Two year</t>
  </si>
  <si>
    <t>tenure_cohort</t>
  </si>
  <si>
    <t>0-12 months</t>
  </si>
  <si>
    <t>13-24 months</t>
  </si>
  <si>
    <t>25-48 months</t>
  </si>
  <si>
    <t>49+ months</t>
  </si>
  <si>
    <t>payment_method</t>
  </si>
  <si>
    <t>Electronic check</t>
  </si>
  <si>
    <t>Mailed check</t>
  </si>
  <si>
    <t>Bank transfer (automatic)</t>
  </si>
  <si>
    <t>Credit card (automatic)</t>
  </si>
  <si>
    <t>churn_rate_check</t>
  </si>
  <si>
    <t>Customer Churn Overview</t>
  </si>
  <si>
    <t>Total Customers</t>
  </si>
  <si>
    <t>Churned Customers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</si>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</sst>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0" fontId="0" fillId="0" borderId="0" xfId="0" applyNumberFormat="1"/>
    <xf numFmtId="0" fontId="2" fillId="0" borderId="0" xfId="0" applyFont="1"/>
    <xf numFmtId="0" fontId="1" fillId="0" borderId="0" xfId="0" applyFont="1"/>
    <xf numFmtId="0" fontId="0" fillId="2" borderId="1" xfId="0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Normal" xfId="0" builtinId="0"/>
  </cellStyles>
  <dxfs count="7"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</dxfs>
  <tableStyles count="0" defaultTableStyle="TableStyleMedium2" defaultPivotStyle="PivotStyleLight16"/>
  <colors>
    <mruColors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Churn by Contract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'churn_by_contract'!$E$1</c:f>
              <c:strCache>
                <c:ptCount val="1"/>
                <c:pt idx="0">
                  <c:v>churn_rate_check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1F4E79"/>
              </a:solidFill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'churn_by_contract'!$A$2:$A$4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'churn_by_contract'!$E$2:$E$4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F-46B3-9A44-2992A21F8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92279360"/>
        <c:axId val="892276960"/>
      </c:barChart>
      <c:catAx>
        <c:axId val="8922793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276960"/>
        <c:crosses val="autoZero"/>
        <c:auto val="1"/>
        <c:lblAlgn val="ctr"/>
        <c:lblOffset val="100"/>
        <c:noMultiLvlLbl val="0"/>
      </c:catAx>
      <c:valAx>
        <c:axId val="892276960"/>
        <c:scaling>
          <c:orientation val="minMax"/>
          <c:max val="0.5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279360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Churn Rate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'churn_by_payment'!$E$1</c:f>
              <c:strCache>
                <c:ptCount val="1"/>
                <c:pt idx="0">
                  <c:v>churn_rate_check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rgbClr val="1F4E79"/>
              </a:solidFill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'churn_by_payment'!$A$2:$A$5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'churn_by_payment'!$E$2:$E$5</c:f>
              <c:numCache>
                <c:formatCode>0.00%</c:formatCode>
                <c:ptCount val="4"/>
                <c:pt idx="0">
                  <c:v>0.45285412262156449</c:v>
                </c:pt>
                <c:pt idx="1">
                  <c:v>0.19106699751861042</c:v>
                </c:pt>
                <c:pt idx="2">
                  <c:v>0.16709844559585493</c:v>
                </c:pt>
                <c:pt idx="3">
                  <c:v>0.15243101182654403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E-4EF4-9008-D411596295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767338784"/>
        <c:axId val="767339264"/>
      </c:barChart>
      <c:catAx>
        <c:axId val="76733878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339264"/>
        <c:crosses val="autoZero"/>
        <c:auto val="1"/>
        <c:lblAlgn val="ctr"/>
        <c:lblOffset val="100"/>
        <c:noMultiLvlLbl val="0"/>
      </c:catAx>
      <c:valAx>
        <c:axId val="767339264"/>
        <c:scaling>
          <c:orientation val="minMax"/>
        </c:scaling>
        <c:delete val="0"/>
        <c:axPos val="b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33878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Churn by 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'churn_by_tenure'!$E$1</c:f>
              <c:strCache>
                <c:ptCount val="1"/>
                <c:pt idx="0">
                  <c:v>churn_rate_check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'churn_by_tenure'!$A$2:$A$5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'churn_by_tenure'!$E$2:$E$5</c:f>
              <c:numCache>
                <c:formatCode>0.00%</c:formatCode>
                <c:ptCount val="4"/>
                <c:pt idx="0">
                  <c:v>0.47438243366880145</c:v>
                </c:pt>
                <c:pt idx="1">
                  <c:v>0.287109375</c:v>
                </c:pt>
                <c:pt idx="2">
                  <c:v>0.20388958594730239</c:v>
                </c:pt>
                <c:pt idx="3">
                  <c:v>9.5131755247878522E-2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5-45C6-AA25-A33F6F3C7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300069888"/>
        <c:axId val="1300067488"/>
      </c:barChart>
      <c:catAx>
        <c:axId val="13000698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067488"/>
        <c:crosses val="autoZero"/>
        <c:auto val="1"/>
        <c:lblAlgn val="ctr"/>
        <c:lblOffset val="100"/>
        <c:noMultiLvlLbl val="0"/>
      </c:catAx>
      <c:valAx>
        <c:axId val="1300067488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06988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Churn by Contract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'churn_by_contract'!$E$1</c:f>
              <c:strCache>
                <c:ptCount val="1"/>
                <c:pt idx="0">
                  <c:v>churn_rate_check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1F4E79"/>
              </a:solidFill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'churn_by_contract'!$A$2:$A$4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'churn_by_contract'!$E$2:$E$4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F-4827-9762-55D9DA74A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92279360"/>
        <c:axId val="892276960"/>
      </c:barChart>
      <c:catAx>
        <c:axId val="8922793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276960"/>
        <c:crosses val="autoZero"/>
        <c:auto val="1"/>
        <c:lblAlgn val="ctr"/>
        <c:lblOffset val="100"/>
        <c:noMultiLvlLbl val="0"/>
      </c:catAx>
      <c:valAx>
        <c:axId val="892276960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  <a:alpha val="2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279360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Churn by 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'churn_by_tenure'!$E$1</c:f>
              <c:strCache>
                <c:ptCount val="1"/>
                <c:pt idx="0">
                  <c:v>churn_rate_check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'churn_by_tenure'!$A$2:$A$5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'churn_by_tenure'!$E$2:$E$5</c:f>
              <c:numCache>
                <c:formatCode>0.00%</c:formatCode>
                <c:ptCount val="4"/>
                <c:pt idx="0">
                  <c:v>0.47438243366880145</c:v>
                </c:pt>
                <c:pt idx="1">
                  <c:v>0.287109375</c:v>
                </c:pt>
                <c:pt idx="2">
                  <c:v>0.20388958594730239</c:v>
                </c:pt>
                <c:pt idx="3">
                  <c:v>9.5131755247878522E-2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8-4C0C-95D5-8A9F967FA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300069888"/>
        <c:axId val="1300067488"/>
      </c:barChart>
      <c:catAx>
        <c:axId val="13000698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067488"/>
        <c:crosses val="autoZero"/>
        <c:auto val="1"/>
        <c:lblAlgn val="ctr"/>
        <c:lblOffset val="100"/>
        <c:noMultiLvlLbl val="0"/>
      </c:catAx>
      <c:valAx>
        <c:axId val="130006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  <a:alpha val="2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06988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Churn Rate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'churn_by_payment'!$E$1</c:f>
              <c:strCache>
                <c:ptCount val="1"/>
                <c:pt idx="0">
                  <c:v>churn_rate_check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rgbClr val="1F4E79"/>
              </a:solidFill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'churn_by_payment'!$A$2:$A$5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'churn_by_payment'!$E$2:$E$5</c:f>
              <c:numCache>
                <c:formatCode>0.00%</c:formatCode>
                <c:ptCount val="4"/>
                <c:pt idx="0">
                  <c:v>0.45285412262156449</c:v>
                </c:pt>
                <c:pt idx="1">
                  <c:v>0.19106699751861042</c:v>
                </c:pt>
                <c:pt idx="2">
                  <c:v>0.16709844559585493</c:v>
                </c:pt>
                <c:pt idx="3">
                  <c:v>0.15243101182654403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9-42DC-9431-96F6B02583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767338784"/>
        <c:axId val="767339264"/>
      </c:barChart>
      <c:catAx>
        <c:axId val="76733878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339264"/>
        <c:crosses val="autoZero"/>
        <c:auto val="1"/>
        <c:lblAlgn val="ctr"/>
        <c:lblOffset val="100"/>
        <c:noMultiLvlLbl val="0"/>
      </c:catAx>
      <c:valAx>
        <c:axId val="76733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  <a:alpha val="300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33878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20781</xdr:colOff>
      <xdr:row>7</xdr:row>
      <xdr:rowOff>7620</xdr:rowOff>
    </xdr:from>
    <xdr:to>
      <xdr:col>3</xdr:col>
      <xdr:colOff>297872</xdr:colOff>
      <xdr:row>14</xdr:row>
      <xdr:rowOff>138546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A2F0F8-7713-414A-8908-70EBAB698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545177</xdr:colOff>
      <xdr:row>6</xdr:row>
      <xdr:rowOff>160713</xdr:rowOff>
    </xdr:from>
    <xdr:to>
      <xdr:col>16</xdr:col>
      <xdr:colOff>289145</xdr:colOff>
      <xdr:row>14</xdr:row>
      <xdr:rowOff>109729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BB8E5D-5F8D-41D1-9872-7530238765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20782</xdr:colOff>
      <xdr:row>16</xdr:row>
      <xdr:rowOff>6926</xdr:rowOff>
    </xdr:from>
    <xdr:to>
      <xdr:col>16</xdr:col>
      <xdr:colOff>127462</xdr:colOff>
      <xdr:row>21</xdr:row>
      <xdr:rowOff>148796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4035E09-23D7-672F-3F63-9936097A699B}"/>
            </a:ext>
          </a:extLst>
        </xdr:cNvPr>
        <xdr:cNvSpPr txBox="1"/>
      </xdr:nvSpPr>
      <xdr:spPr>
        <a:xfrm>
          <a:off x="8763000" y="3269671"/>
          <a:ext cx="3154680" cy="1042416"/>
        </a:xfrm>
        <a:prstGeom prst="rect">
          <a:avLst/>
        </a:prstGeom>
        <a:noFill/>
        <a:ln w="9525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ysClr val="windowText" lastClr="000000"/>
              </a:solidFill>
            </a:rPr>
            <a:t>Insight</a:t>
          </a:r>
          <a:r>
            <a:rPr lang="en-US" sz="1100" b="1"/>
            <a:t>: </a:t>
          </a:r>
          <a:r>
            <a:rPr lang="en-US" sz="1100"/>
            <a:t>Electronic</a:t>
          </a:r>
          <a:r>
            <a:rPr lang="en-US" sz="1100" baseline="0"/>
            <a:t> check customers show the highest churn rate, suggesting that manual payments behavior may be associated with lower retention.</a:t>
          </a:r>
          <a:endParaRPr lang="en-US" sz="1100"/>
        </a:p>
      </xdr:txBody>
    </xdr:sp>
    <xdr:clientData/>
  </xdr:twoCellAnchor>
  <xdr:twoCellAnchor>
    <xdr:from>
      <xdr:col>4</xdr:col>
      <xdr:colOff>40385</xdr:colOff>
      <xdr:row>6</xdr:row>
      <xdr:rowOff>167640</xdr:rowOff>
    </xdr:from>
    <xdr:to>
      <xdr:col>9</xdr:col>
      <xdr:colOff>227699</xdr:colOff>
      <xdr:row>14</xdr:row>
      <xdr:rowOff>117071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D422C1-3747-42F0-9E8C-5513EE19F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51262</xdr:colOff>
      <xdr:row>16</xdr:row>
      <xdr:rowOff>34637</xdr:rowOff>
    </xdr:from>
    <xdr:ext cx="3156065" cy="104601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D46AF75-7B66-92EF-CB35-C059B221E0D5}"/>
            </a:ext>
          </a:extLst>
        </xdr:cNvPr>
        <xdr:cNvSpPr txBox="1"/>
      </xdr:nvSpPr>
      <xdr:spPr>
        <a:xfrm>
          <a:off x="51262" y="3297382"/>
          <a:ext cx="3156065" cy="1046018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/>
            <a:t>Insight: </a:t>
          </a:r>
          <a:r>
            <a:rPr lang="en-US" sz="1100"/>
            <a:t>Month-to-month contracts show the highest churn rate (42.7%), while longer-term contracts significantly reduce churn. This suggests that customer commitment and contract length strongly influence retention.</a:t>
          </a:r>
        </a:p>
      </xdr:txBody>
    </xdr:sp>
    <xdr:clientData/>
  </xdr:oneCellAnchor>
  <xdr:oneCellAnchor>
    <xdr:from>
      <xdr:col>4</xdr:col>
      <xdr:colOff>99060</xdr:colOff>
      <xdr:row>16</xdr:row>
      <xdr:rowOff>13854</xdr:rowOff>
    </xdr:from>
    <xdr:ext cx="3154680" cy="104241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E87D5C8-ADFF-2445-B71E-CA49E6F66CA6}"/>
            </a:ext>
          </a:extLst>
        </xdr:cNvPr>
        <xdr:cNvSpPr txBox="1"/>
      </xdr:nvSpPr>
      <xdr:spPr>
        <a:xfrm>
          <a:off x="4407824" y="3276599"/>
          <a:ext cx="3154680" cy="1042416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/>
            <a:t>Insight: </a:t>
          </a:r>
          <a:r>
            <a:rPr lang="en-US" sz="1100"/>
            <a:t>Customers within their first 12 months show the highest churn rate (47.4%), indicating that early customer experience and onboarding play a critical role in retention.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8</xdr:row>
      <xdr:rowOff>15240</xdr:rowOff>
    </xdr:from>
    <xdr:to>
      <xdr:col>6</xdr:col>
      <xdr:colOff>7620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3C6076-E1B4-7054-CDBE-A124BBAABA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982980</xdr:colOff>
      <xdr:row>8</xdr:row>
      <xdr:rowOff>15240</xdr:rowOff>
    </xdr:from>
    <xdr:to>
      <xdr:col>6</xdr:col>
      <xdr:colOff>0</xdr:colOff>
      <xdr:row>25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34C535-7154-0FE2-7F09-72F8A1C85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15240</xdr:rowOff>
    </xdr:from>
    <xdr:to>
      <xdr:col>6</xdr:col>
      <xdr:colOff>15240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8E9C32-D001-B31F-2301-9CA4A2832E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81835FE-00F9-425D-8FAA-72FFD9D54332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total_customers" tableColumnId="1"/>
      <queryTableField id="2" name="churned_customers" tableColumnId="2"/>
      <queryTableField id="3" name="churn_rate_pct" tableColumnId="3"/>
      <queryTableField id="4" dataBound="0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9E0813-D56D-40AA-8274-BA88BB0DC486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contract" tableColumnId="1"/>
      <queryTableField id="2" name="total_customers" tableColumnId="2"/>
      <queryTableField id="3" name="churned_customers" tableColumnId="3"/>
      <queryTableField id="4" name="churn_rate_pct" tableColumnId="4"/>
      <queryTableField id="5" dataBound="0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859C878-7867-4CDA-86CB-CA1CEC640351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tenure_cohort" tableColumnId="1"/>
      <queryTableField id="2" name="total_customers" tableColumnId="2"/>
      <queryTableField id="3" name="churned_customers" tableColumnId="3"/>
      <queryTableField id="4" name="churn_rate_pct" tableColumnId="4"/>
      <queryTableField id="5" dataBound="0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432880F-B82D-4348-984F-CE89426FA165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payment_method" tableColumnId="1"/>
      <queryTableField id="2" name="total_customers" tableColumnId="2"/>
      <queryTableField id="3" name="churned_customers" tableColumnId="3"/>
      <queryTableField id="4" name="churn_rate_pct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37DA4D-FC14-4509-98E9-A647880FAEC7}" name="churn_kpis" displayName="churn_kpis" ref="A1:D2" tableType="queryTable" totalsRowShown="0">
  <autoFilter ref="A1:D2" xr:uid="{A837DA4D-FC14-4509-98E9-A647880FAEC7}"/>
  <tableColumns count="4">
    <tableColumn id="1" xr3:uid="{2DF12B5D-A033-42C5-88B9-A2507D2E0608}" uniqueName="1" name="total_customers" queryTableFieldId="1"/>
    <tableColumn id="2" xr3:uid="{F92DD5FB-B375-4741-959E-09C6617042D8}" uniqueName="2" name="churned_customers" queryTableFieldId="2"/>
    <tableColumn id="3" xr3:uid="{59A5F9B1-F3AD-417F-AA34-1FDC615A9DF4}" uniqueName="3" name="churn_rate_pct" queryTableFieldId="3"/>
    <tableColumn id="4" xr3:uid="{FD77C553-0BC9-4631-8764-5934E7BBFE1C}" uniqueName="4" name="churn_rate_check" queryTableFieldId="4" dataDxfId="4">
      <calculatedColumnFormula>churn_kpis[[#This Row],[churned_customers]]/churn_kpis[[#This Row],[total_customers]]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80E223-BA77-4558-9CF4-FFDAADF3B0CF}" name="churn_by_contract" displayName="churn_by_contract" ref="A1:E4" tableType="queryTable" totalsRowShown="0">
  <autoFilter ref="A1:E4" xr:uid="{C880E223-BA77-4558-9CF4-FFDAADF3B0CF}"/>
  <tableColumns count="5">
    <tableColumn id="1" xr3:uid="{4CC8FE94-3317-4FCA-8D99-D859810E31B3}" uniqueName="1" name="contract" queryTableFieldId="1" dataDxfId="3"/>
    <tableColumn id="2" xr3:uid="{EC5FCD74-0AD8-4254-B651-C230C31C5D0A}" uniqueName="2" name="total_customers" queryTableFieldId="2"/>
    <tableColumn id="3" xr3:uid="{43937D3A-35AE-4D94-B4F4-F8D6EA43E31D}" uniqueName="3" name="churned_customers" queryTableFieldId="3"/>
    <tableColumn id="4" xr3:uid="{D21DE507-8EF5-4183-A9FC-6EAA6965B415}" uniqueName="4" name="churn_rate_pct" queryTableFieldId="4"/>
    <tableColumn id="5" xr3:uid="{9C4921D6-9835-427E-AA05-4D3BAEC6D6E5}" uniqueName="5" name="churn_rate_check" queryTableFieldId="5" dataDxfId="2">
      <calculatedColumnFormula>churn_by_contract[[#This Row],[churned_customers]]/churn_by_contract[[#This Row],[total_customers]]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88B56C-9D15-40C3-AB4C-0A85B0D92458}" name="churn_by_tenure" displayName="churn_by_tenure" ref="A1:E5" tableType="queryTable" totalsRowShown="0">
  <autoFilter ref="A1:E5" xr:uid="{1788B56C-9D15-40C3-AB4C-0A85B0D92458}"/>
  <tableColumns count="5">
    <tableColumn id="1" xr3:uid="{3811CC0F-72B0-46B3-B073-B891DD84564E}" uniqueName="1" name="tenure_cohort" queryTableFieldId="1" dataDxfId="1"/>
    <tableColumn id="2" xr3:uid="{C5ACA02E-D492-4497-8402-0A87C95096BA}" uniqueName="2" name="total_customers" queryTableFieldId="2"/>
    <tableColumn id="3" xr3:uid="{03C5E1F8-5042-4FA8-A3DB-455377A70216}" uniqueName="3" name="churned_customers" queryTableFieldId="3"/>
    <tableColumn id="4" xr3:uid="{FB4F5890-E424-4435-AB1A-3C3908AA8B71}" uniqueName="4" name="churn_rate_pct" queryTableFieldId="4"/>
    <tableColumn id="5" xr3:uid="{426AA3BC-2CC1-4079-AF14-3AC49AAE2EA8}" uniqueName="5" name="churn_rate_check" queryTableFieldId="5" dataDxfId="0">
      <calculatedColumnFormula>churn_by_tenure[[#This Row],[churned_customers]]/churn_by_tenure[[#This Row],[total_customers]]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B2E000-9A5D-41C9-AFC7-CA6A866AD3FD}" name="churn_by_payment" displayName="churn_by_payment" ref="A1:E5" tableType="queryTable" totalsRowShown="0">
  <autoFilter ref="A1:E5" xr:uid="{FAB2E000-9A5D-41C9-AFC7-CA6A866AD3FD}"/>
  <sortState xmlns:xlrd2="http://schemas.microsoft.com/office/spreadsheetml/2017/richdata2" ref="A2:E5">
    <sortCondition descending="1" ref="D2:D5"/>
  </sortState>
  <tableColumns count="5">
    <tableColumn id="1" xr3:uid="{8B4077E7-79A2-4666-9110-CCE21A3803BC}" uniqueName="1" name="payment_method" queryTableFieldId="1" dataDxfId="6"/>
    <tableColumn id="2" xr3:uid="{8CA32D22-9D0B-461F-9FDB-8F3076EFA7C2}" uniqueName="2" name="total_customers" queryTableFieldId="2"/>
    <tableColumn id="3" xr3:uid="{4948B664-D99E-427B-A799-364C12491042}" uniqueName="3" name="churned_customers" queryTableFieldId="3"/>
    <tableColumn id="4" xr3:uid="{D08277BD-5F8A-4075-8441-F0ED1104C4B9}" uniqueName="4" name="churn_rate_pct" queryTableFieldId="4"/>
    <tableColumn id="5" xr3:uid="{4622F76B-5A54-4D5A-8678-75BE00EA0B72}" uniqueName="5" name="churn_rate_check" queryTableFieldId="5" dataDxfId="5">
      <calculatedColumnFormula>churn_by_payment[[#This Row],[churned_customers]]/churn_by_payment[[#This Row],[total_customers]]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F6DFA-DBC3-463B-A8AF-782536C67313}">
  <dimension ref="A1:O5"/>
  <sheetViews>
    <sheetView tabSelected="1" zoomScale="110" zoomScaleNormal="110" workbookViewId="0">
      <selection activeCell="J19" sqref="J19"/>
    </sheetView>
  </sheetViews>
  <sheetFormatPr defaultRowHeight="14.4" x14ac:dyDescent="0.3"/>
  <cols>
    <col min="1" max="1" width="14.5546875" bestFit="1" customWidth="1"/>
    <col min="2" max="2" width="17.5546875" bestFit="1" customWidth="1"/>
    <col min="3" max="3" width="13.44140625" bestFit="1" customWidth="1"/>
    <col min="4" max="4" width="17.21875" bestFit="1" customWidth="1"/>
    <col min="7" max="7" width="11.33203125" bestFit="1" customWidth="1"/>
  </cols>
  <sheetData>
    <row r="1" spans="1:15" ht="23.4" x14ac:dyDescent="0.45">
      <c r="A1" s="2" t="s">
        <v>18</v>
      </c>
      <c r="B1" s="2"/>
      <c r="C1" s="3"/>
    </row>
    <row r="4" spans="1:15" ht="25.05" customHeight="1" x14ac:dyDescent="0.3">
      <c r="A4" s="7" t="s">
        <v>19</v>
      </c>
      <c r="B4" s="8"/>
      <c r="F4" s="4" t="s">
        <v>20</v>
      </c>
      <c r="G4" s="4"/>
      <c r="H4" s="4"/>
      <c r="M4" s="4" t="s">
        <v>21</v>
      </c>
      <c r="N4" s="4"/>
      <c r="O4" s="4"/>
    </row>
    <row r="5" spans="1:15" ht="25.05" customHeight="1" x14ac:dyDescent="0.3">
      <c r="A5" s="5" cm="1">
        <f t="array" ref="A5">churn_kpis[total_customers]</f>
        <v>7043</v>
      </c>
      <c r="B5" s="5"/>
      <c r="F5" s="5" cm="1">
        <f t="array" ref="F5">churn_kpis[churned_customers]</f>
        <v>1869</v>
      </c>
      <c r="G5" s="5"/>
      <c r="H5" s="5"/>
      <c r="M5" s="6" cm="1">
        <f t="array" ref="M5">churn_kpis[churn_rate_check]</f>
        <v>0.26536987079369589</v>
      </c>
      <c r="N5" s="6"/>
      <c r="O5" s="6"/>
    </row>
  </sheetData>
  <mergeCells count="6">
    <mergeCell ref="M5:O5"/>
    <mergeCell ref="A4:B4"/>
    <mergeCell ref="A5:B5"/>
    <mergeCell ref="F4:H4"/>
    <mergeCell ref="F5:H5"/>
    <mergeCell ref="M4:O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4828A-8E25-4580-8EB6-37326BAF95A0}">
  <dimension ref="A1:D2"/>
  <sheetViews>
    <sheetView workbookViewId="0">
      <selection activeCell="D11" sqref="D11"/>
    </sheetView>
  </sheetViews>
  <sheetFormatPr defaultRowHeight="14.4" x14ac:dyDescent="0.3"/>
  <cols>
    <col min="1" max="1" width="16.77734375" bestFit="1" customWidth="1"/>
    <col min="2" max="2" width="19.77734375" bestFit="1" customWidth="1"/>
    <col min="3" max="3" width="15.6640625" bestFit="1" customWidth="1"/>
    <col min="4" max="4" width="17.88671875" style="1" bestFit="1" customWidth="1"/>
  </cols>
  <sheetData>
    <row r="1" spans="1:4" x14ac:dyDescent="0.3">
      <c r="A1" t="s">
        <v>0</v>
      </c>
      <c r="B1" t="s">
        <v>1</v>
      </c>
      <c r="C1" t="s">
        <v>2</v>
      </c>
      <c r="D1" s="1" t="s">
        <v>17</v>
      </c>
    </row>
    <row r="2" spans="1:4" x14ac:dyDescent="0.3">
      <c r="A2">
        <v>7043</v>
      </c>
      <c r="B2">
        <v>1869</v>
      </c>
      <c r="C2">
        <v>26.54</v>
      </c>
      <c r="D2" s="1">
        <f>churn_kpis[[#This Row],[churned_customers]]/churn_kpis[[#This Row],[total_customers]]</f>
        <v>0.26536987079369589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D1E1A-FBEF-4E8B-8A48-024A34493A6E}">
  <dimension ref="A1:E4"/>
  <sheetViews>
    <sheetView workbookViewId="0">
      <selection activeCell="H22" sqref="H22"/>
    </sheetView>
  </sheetViews>
  <sheetFormatPr defaultColWidth="14" defaultRowHeight="14.4" x14ac:dyDescent="0.3"/>
  <cols>
    <col min="1" max="1" width="14.109375" bestFit="1" customWidth="1"/>
    <col min="2" max="2" width="16.77734375" bestFit="1" customWidth="1"/>
    <col min="3" max="3" width="19.77734375" bestFit="1" customWidth="1"/>
    <col min="4" max="4" width="15.6640625" bestFit="1" customWidth="1"/>
    <col min="5" max="5" width="17.88671875" style="1" bestFit="1" customWidth="1"/>
  </cols>
  <sheetData>
    <row r="1" spans="1:5" x14ac:dyDescent="0.3">
      <c r="A1" t="s">
        <v>3</v>
      </c>
      <c r="B1" t="s">
        <v>0</v>
      </c>
      <c r="C1" t="s">
        <v>1</v>
      </c>
      <c r="D1" t="s">
        <v>2</v>
      </c>
      <c r="E1" s="1" t="s">
        <v>17</v>
      </c>
    </row>
    <row r="2" spans="1:5" x14ac:dyDescent="0.3">
      <c r="A2" t="s">
        <v>4</v>
      </c>
      <c r="B2">
        <v>3875</v>
      </c>
      <c r="C2">
        <v>1655</v>
      </c>
      <c r="D2">
        <v>42.71</v>
      </c>
      <c r="E2" s="1">
        <f>churn_by_contract[[#This Row],[churned_customers]]/churn_by_contract[[#This Row],[total_customers]]</f>
        <v>0.42709677419354841</v>
      </c>
    </row>
    <row r="3" spans="1:5" x14ac:dyDescent="0.3">
      <c r="A3" t="s">
        <v>5</v>
      </c>
      <c r="B3">
        <v>1473</v>
      </c>
      <c r="C3">
        <v>166</v>
      </c>
      <c r="D3">
        <v>11.27</v>
      </c>
      <c r="E3" s="1">
        <f>churn_by_contract[[#This Row],[churned_customers]]/churn_by_contract[[#This Row],[total_customers]]</f>
        <v>0.11269517990495587</v>
      </c>
    </row>
    <row r="4" spans="1:5" x14ac:dyDescent="0.3">
      <c r="A4" t="s">
        <v>6</v>
      </c>
      <c r="B4">
        <v>1695</v>
      </c>
      <c r="C4">
        <v>48</v>
      </c>
      <c r="D4">
        <v>2.83</v>
      </c>
      <c r="E4" s="1">
        <f>churn_by_contract[[#This Row],[churned_customers]]/churn_by_contract[[#This Row],[total_customers]]</f>
        <v>2.831858407079646E-2</v>
      </c>
    </row>
  </sheetData>
  <conditionalFormatting sqref="D2:D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91EC-EA71-4904-8B16-240D196CE8DE}">
  <dimension ref="A1:E5"/>
  <sheetViews>
    <sheetView workbookViewId="0">
      <selection activeCell="J15" sqref="J15"/>
    </sheetView>
  </sheetViews>
  <sheetFormatPr defaultColWidth="14.77734375" defaultRowHeight="14.4" x14ac:dyDescent="0.3"/>
  <cols>
    <col min="1" max="1" width="14.6640625" bestFit="1" customWidth="1"/>
    <col min="2" max="2" width="16.77734375" bestFit="1" customWidth="1"/>
    <col min="3" max="3" width="19.77734375" bestFit="1" customWidth="1"/>
    <col min="4" max="4" width="15.6640625" bestFit="1" customWidth="1"/>
    <col min="5" max="5" width="17.88671875" style="1" bestFit="1" customWidth="1"/>
  </cols>
  <sheetData>
    <row r="1" spans="1:5" x14ac:dyDescent="0.3">
      <c r="A1" t="s">
        <v>7</v>
      </c>
      <c r="B1" t="s">
        <v>0</v>
      </c>
      <c r="C1" t="s">
        <v>1</v>
      </c>
      <c r="D1" t="s">
        <v>2</v>
      </c>
      <c r="E1" s="1" t="s">
        <v>17</v>
      </c>
    </row>
    <row r="2" spans="1:5" x14ac:dyDescent="0.3">
      <c r="A2" t="s">
        <v>8</v>
      </c>
      <c r="B2">
        <v>2186</v>
      </c>
      <c r="C2">
        <v>1037</v>
      </c>
      <c r="D2">
        <v>47.44</v>
      </c>
      <c r="E2" s="1">
        <f>churn_by_tenure[[#This Row],[churned_customers]]/churn_by_tenure[[#This Row],[total_customers]]</f>
        <v>0.47438243366880145</v>
      </c>
    </row>
    <row r="3" spans="1:5" x14ac:dyDescent="0.3">
      <c r="A3" t="s">
        <v>9</v>
      </c>
      <c r="B3">
        <v>1024</v>
      </c>
      <c r="C3">
        <v>294</v>
      </c>
      <c r="D3">
        <v>28.71</v>
      </c>
      <c r="E3" s="1">
        <f>churn_by_tenure[[#This Row],[churned_customers]]/churn_by_tenure[[#This Row],[total_customers]]</f>
        <v>0.287109375</v>
      </c>
    </row>
    <row r="4" spans="1:5" x14ac:dyDescent="0.3">
      <c r="A4" t="s">
        <v>10</v>
      </c>
      <c r="B4">
        <v>1594</v>
      </c>
      <c r="C4">
        <v>325</v>
      </c>
      <c r="D4">
        <v>20.39</v>
      </c>
      <c r="E4" s="1">
        <f>churn_by_tenure[[#This Row],[churned_customers]]/churn_by_tenure[[#This Row],[total_customers]]</f>
        <v>0.20388958594730239</v>
      </c>
    </row>
    <row r="5" spans="1:5" x14ac:dyDescent="0.3">
      <c r="A5" t="s">
        <v>11</v>
      </c>
      <c r="B5">
        <v>2239</v>
      </c>
      <c r="C5">
        <v>213</v>
      </c>
      <c r="D5">
        <v>9.51</v>
      </c>
      <c r="E5" s="1">
        <f>churn_by_tenure[[#This Row],[churned_customers]]/churn_by_tenure[[#This Row],[total_customers]]</f>
        <v>9.5131755247878522E-2</v>
      </c>
    </row>
  </sheetData>
  <conditionalFormatting sqref="D2:D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EB20D-8F57-4244-A3F3-2CA7E01636BF}">
  <dimension ref="A1:E5"/>
  <sheetViews>
    <sheetView workbookViewId="0">
      <selection activeCell="F1" sqref="F1"/>
    </sheetView>
  </sheetViews>
  <sheetFormatPr defaultColWidth="21.44140625" defaultRowHeight="14.4" x14ac:dyDescent="0.3"/>
  <cols>
    <col min="5" max="5" width="21.44140625" style="1"/>
  </cols>
  <sheetData>
    <row r="1" spans="1:5" x14ac:dyDescent="0.3">
      <c r="A1" t="s">
        <v>12</v>
      </c>
      <c r="B1" t="s">
        <v>0</v>
      </c>
      <c r="C1" t="s">
        <v>1</v>
      </c>
      <c r="D1" t="s">
        <v>2</v>
      </c>
      <c r="E1" s="1" t="s">
        <v>17</v>
      </c>
    </row>
    <row r="2" spans="1:5" x14ac:dyDescent="0.3">
      <c r="A2" t="s">
        <v>13</v>
      </c>
      <c r="B2">
        <v>2365</v>
      </c>
      <c r="C2">
        <v>1071</v>
      </c>
      <c r="D2">
        <v>45.29</v>
      </c>
      <c r="E2" s="1">
        <f>churn_by_payment[[#This Row],[churned_customers]]/churn_by_payment[[#This Row],[total_customers]]</f>
        <v>0.45285412262156449</v>
      </c>
    </row>
    <row r="3" spans="1:5" x14ac:dyDescent="0.3">
      <c r="A3" t="s">
        <v>14</v>
      </c>
      <c r="B3">
        <v>1612</v>
      </c>
      <c r="C3">
        <v>308</v>
      </c>
      <c r="D3">
        <v>19.11</v>
      </c>
      <c r="E3" s="1">
        <f>churn_by_payment[[#This Row],[churned_customers]]/churn_by_payment[[#This Row],[total_customers]]</f>
        <v>0.19106699751861042</v>
      </c>
    </row>
    <row r="4" spans="1:5" x14ac:dyDescent="0.3">
      <c r="A4" t="s">
        <v>15</v>
      </c>
      <c r="B4">
        <v>1544</v>
      </c>
      <c r="C4">
        <v>258</v>
      </c>
      <c r="D4">
        <v>16.71</v>
      </c>
      <c r="E4" s="1">
        <f>churn_by_payment[[#This Row],[churned_customers]]/churn_by_payment[[#This Row],[total_customers]]</f>
        <v>0.16709844559585493</v>
      </c>
    </row>
    <row r="5" spans="1:5" x14ac:dyDescent="0.3">
      <c r="A5" t="s">
        <v>16</v>
      </c>
      <c r="B5">
        <v>1522</v>
      </c>
      <c r="C5">
        <v>232</v>
      </c>
      <c r="D5">
        <v>15.24</v>
      </c>
      <c r="E5" s="1">
        <f>churn_by_payment[[#This Row],[churned_customers]]/churn_by_payment[[#This Row],[total_customers]]</f>
        <v>0.15243101182654403</v>
      </c>
    </row>
  </sheetData>
  <conditionalFormatting sqref="D2:D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F5810B-9305-4E8A-8093-3BB03087CD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summary_dashboard</vt:lpstr>
      <vt:lpstr>churn_kpis</vt:lpstr>
      <vt:lpstr>churn_by_contract</vt:lpstr>
      <vt:lpstr>churn_by_tenure</vt:lpstr>
      <vt:lpstr>churn_by_payment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yorman kennedy gomez quintero</dc:creator>
  <cp:lastModifiedBy>yorman kennedy gomez quintero</cp:lastModifiedBy>
  <dcterms:created xsi:type="dcterms:W3CDTF">2026-03-07T15:29:47Z</dcterms:created>
  <dcterms:modified xsi:type="dcterms:W3CDTF">2026-03-07T18:56:46Z</dcterms:modified>
</cp:coreProperties>
</file>